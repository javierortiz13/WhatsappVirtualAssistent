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Supuestos" sheetId="2" state="visible" r:id="rId2"/>
    <sheet name="Costo por mensaje" sheetId="3" state="visible" r:id="rId3"/>
    <sheet name="Margen por plan" sheetId="4" state="visible" r:id="rId4"/>
    <sheet name="Punto de equilibrio" sheetId="5" state="visible" r:id="rId5"/>
    <sheet name="Fundadores (50)" sheetId="6" state="visible" r:id="rId6"/>
    <sheet name="Prueba gratis" sheetId="7" state="visible" r:id="rId7"/>
    <sheet name="Datos reales" sheetId="8" state="visible" r:id="rId8"/>
    <sheet name="Recomenda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($#,##0.00);&quot;-&quot;"/>
    <numFmt numFmtId="165" formatCode="#,##0;(#,##0);&quot;-&quot;"/>
    <numFmt numFmtId="166" formatCode="0.0%;(0.0%);&quot;-&quot;"/>
    <numFmt numFmtId="167" formatCode="$#,##0.0000;($#,##0.0000);&quot;-&quot;"/>
    <numFmt numFmtId="168" formatCode="#,##0.0;(#,##0.0);&quot;-&quot;"/>
    <numFmt numFmtId="169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F2E8"/>
      </patternFill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7" fillId="4" borderId="0" applyAlignment="1" pivotButton="0" quotePrefix="0" xfId="0">
      <alignment horizontal="center" vertical="center" wrapText="1"/>
    </xf>
    <xf numFmtId="164" fontId="5" fillId="0" borderId="0" pivotButton="0" quotePrefix="0" xfId="0"/>
    <xf numFmtId="165" fontId="5" fillId="0" borderId="0" pivotButton="0" quotePrefix="0" xfId="0"/>
    <xf numFmtId="166" fontId="5" fillId="2" borderId="0" pivotButton="0" quotePrefix="0" xfId="0"/>
    <xf numFmtId="166" fontId="4" fillId="0" borderId="0" pivotButton="0" quotePrefix="0" xfId="0"/>
    <xf numFmtId="166" fontId="5" fillId="0" borderId="0" pivotButton="0" quotePrefix="0" xfId="0"/>
    <xf numFmtId="167" fontId="6" fillId="2" borderId="0" pivotButton="0" quotePrefix="0" xfId="0"/>
    <xf numFmtId="2" fontId="6" fillId="0" borderId="0" pivotButton="0" quotePrefix="0" xfId="0"/>
    <xf numFmtId="167" fontId="5" fillId="2" borderId="0" pivotButton="0" quotePrefix="0" xfId="0"/>
    <xf numFmtId="166" fontId="6" fillId="0" borderId="0" pivotButton="0" quotePrefix="0" xfId="0"/>
    <xf numFmtId="167" fontId="5" fillId="0" borderId="0" pivotButton="0" quotePrefix="0" xfId="0"/>
    <xf numFmtId="164" fontId="3" fillId="0" borderId="0" pivotButton="0" quotePrefix="0" xfId="0"/>
    <xf numFmtId="167" fontId="6" fillId="0" borderId="0" pivotButton="0" quotePrefix="0" xfId="0"/>
    <xf numFmtId="167" fontId="3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3" fillId="0" borderId="0" pivotButton="0" quotePrefix="0" xfId="0"/>
    <xf numFmtId="168" fontId="6" fillId="0" borderId="0" pivotButton="0" quotePrefix="0" xfId="0"/>
    <xf numFmtId="168" fontId="4" fillId="0" borderId="0" pivotButton="0" quotePrefix="0" xfId="0"/>
    <xf numFmtId="168" fontId="3" fillId="0" borderId="0" pivotButton="0" quotePrefix="0" xfId="0"/>
    <xf numFmtId="169" fontId="4" fillId="0" borderId="0" pivotButton="0" quotePrefix="0" xfId="0"/>
    <xf numFmtId="0" fontId="7" fillId="4" borderId="0" applyAlignment="1" pivotButton="0" quotePrefix="0" xfId="0">
      <alignment horizontal="center" wrapText="1"/>
    </xf>
    <xf numFmtId="165" fontId="4" fillId="0" borderId="0" pivotButton="0" quotePrefix="0" xfId="0"/>
    <xf numFmtId="2" fontId="3" fillId="0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Rocco · Modelo de costos, ganancias y punto de equilibrio</t>
        </is>
      </c>
      <c r="B1" s="2" t="n"/>
    </row>
    <row r="2">
      <c r="A2" s="3" t="inlineStr">
        <is>
          <t>Preparado el 07/10/2026 con los datos reales del piloto. Todo se recalcula al cambiar los supuestos.</t>
        </is>
      </c>
      <c r="B2" s="2" t="n"/>
    </row>
    <row r="3">
      <c r="A3" s="2" t="n"/>
      <c r="B3" s="2" t="n"/>
    </row>
    <row r="4">
      <c r="A4" s="4" t="inlineStr">
        <is>
          <t>Cómo usarlo</t>
        </is>
      </c>
      <c r="B4" s="5" t="inlineStr"/>
    </row>
    <row r="5">
      <c r="A5" s="5" t="inlineStr">
        <is>
          <t>Celdas en azul</t>
        </is>
      </c>
      <c r="B5" s="5" t="inlineStr">
        <is>
          <t>Supuestos que puedes cambiar (precios, costos, mezcla de clientes, conversión).</t>
        </is>
      </c>
    </row>
    <row r="6">
      <c r="A6" s="6" t="inlineStr">
        <is>
          <t>Celdas en amarillo</t>
        </is>
      </c>
      <c r="B6" s="5" t="inlineStr">
        <is>
          <t>Supuestos clave: los que más mueven el resultado. Revísalos con tus facturas.</t>
        </is>
      </c>
    </row>
    <row r="7">
      <c r="A7" s="7" t="inlineStr">
        <is>
          <t>Celdas en negro</t>
        </is>
      </c>
      <c r="B7" s="5" t="inlineStr">
        <is>
          <t>Fórmulas. No las toques.</t>
        </is>
      </c>
    </row>
    <row r="8">
      <c r="A8" s="5" t="inlineStr">
        <is>
          <t>Celdas en verde</t>
        </is>
      </c>
      <c r="B8" s="5" t="inlineStr">
        <is>
          <t>Traen un valor de otra hoja.</t>
        </is>
      </c>
    </row>
    <row r="9">
      <c r="A9" s="8" t="inlineStr"/>
      <c r="B9" s="5" t="inlineStr"/>
    </row>
    <row r="10">
      <c r="A10" s="4" t="inlineStr">
        <is>
          <t>Hojas</t>
        </is>
      </c>
      <c r="B10" s="5" t="inlineStr"/>
    </row>
    <row r="11">
      <c r="A11" s="5" t="inlineStr">
        <is>
          <t>Supuestos</t>
        </is>
      </c>
      <c r="B11" s="5" t="inlineStr">
        <is>
          <t>Precios, límites, costos por mensaje, costos fijos, prueba gratis y fundadores.</t>
        </is>
      </c>
    </row>
    <row r="12">
      <c r="A12" s="5" t="inlineStr">
        <is>
          <t>Costo por mensaje</t>
        </is>
      </c>
      <c r="B12" s="5" t="inlineStr">
        <is>
          <t>Cuánto nos cuesta cada mensaje que el usuario manda (IA + Meta + voz).</t>
        </is>
      </c>
    </row>
    <row r="13">
      <c r="A13" s="5" t="inlineStr">
        <is>
          <t>Margen por plan</t>
        </is>
      </c>
      <c r="B13" s="5" t="inlineStr">
        <is>
          <t>Ganancia por cliente al mes, a precio normal y de fundador, con uso esperado y en el peor caso.</t>
        </is>
      </c>
    </row>
    <row r="14">
      <c r="A14" s="5" t="inlineStr">
        <is>
          <t>Punto de equilibrio</t>
        </is>
      </c>
      <c r="B14" s="5" t="inlineStr">
        <is>
          <t>Cuántos clientes hacen falta para cubrir los costos fijos.</t>
        </is>
      </c>
    </row>
    <row r="15">
      <c r="A15" s="5" t="inlineStr">
        <is>
          <t>Fundadores (50)</t>
        </is>
      </c>
      <c r="B15" s="5" t="inlineStr">
        <is>
          <t>Resultado mensual con los 50 fundadores y después, a precio normal; escenarios de crecimiento.</t>
        </is>
      </c>
    </row>
    <row r="16">
      <c r="A16" s="5" t="inlineStr">
        <is>
          <t>Prueba gratis</t>
        </is>
      </c>
      <c r="B16" s="5" t="inlineStr">
        <is>
          <t>Cuánto cuesta dar la prueba de 14 días y cuánto cuesta conseguir cada cliente que paga, por tipo de persona invitada.</t>
        </is>
      </c>
    </row>
    <row r="17">
      <c r="A17" s="5" t="inlineStr">
        <is>
          <t>Datos reales</t>
        </is>
      </c>
      <c r="B17" s="5" t="inlineStr">
        <is>
          <t>Lo medido en producción con las 4 cuentas del piloto.</t>
        </is>
      </c>
    </row>
    <row r="18">
      <c r="A18" s="5" t="inlineStr">
        <is>
          <t>Recomendaciones</t>
        </is>
      </c>
      <c r="B18" s="5" t="inlineStr">
        <is>
          <t>A quién invitar y qué medir.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16" customWidth="1" min="4" max="4"/>
    <col width="18" customWidth="1" min="5" max="5"/>
    <col width="70" customWidth="1" min="6" max="6"/>
  </cols>
  <sheetData>
    <row r="1">
      <c r="A1" s="1" t="inlineStr">
        <is>
          <t>Supuestos</t>
        </is>
      </c>
      <c r="B1" s="2" t="n"/>
      <c r="C1" s="2" t="n"/>
      <c r="D1" s="2" t="n"/>
      <c r="E1" s="2" t="n"/>
      <c r="F1" s="2" t="n"/>
    </row>
    <row r="2">
      <c r="A2" s="3" t="inlineStr">
        <is>
          <t>Azul = cámbialo tú · Amarillo = supuesto clave · Fuente al lado de cada número.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9" t="inlineStr">
        <is>
          <t>Planes (precios de lista, en USD al mes)</t>
        </is>
      </c>
      <c r="B4" s="10" t="n"/>
      <c r="C4" s="10" t="n"/>
      <c r="D4" s="10" t="n"/>
      <c r="E4" s="10" t="n"/>
      <c r="F4" s="10" t="n"/>
    </row>
    <row r="5">
      <c r="A5" s="11" t="inlineStr">
        <is>
          <t>Plan</t>
        </is>
      </c>
      <c r="B5" s="11" t="inlineStr">
        <is>
          <t>Precio $/mes</t>
        </is>
      </c>
      <c r="C5" s="11" t="inlineStr">
        <is>
          <t>Mensajes incluidos/mes</t>
        </is>
      </c>
      <c r="D5" s="11" t="inlineStr">
        <is>
          <t>Mezcla de clientes %</t>
        </is>
      </c>
      <c r="E5" s="11" t="inlineStr">
        <is>
          <t>Uso esperado % del tope</t>
        </is>
      </c>
      <c r="F5" s="11" t="inlineStr">
        <is>
          <t>Fuente</t>
        </is>
      </c>
    </row>
    <row r="6">
      <c r="A6" s="5" t="inlineStr">
        <is>
          <t>Personal</t>
        </is>
      </c>
      <c r="B6" s="12" t="n">
        <v>5.99</v>
      </c>
      <c r="C6" s="13" t="n">
        <v>120</v>
      </c>
      <c r="D6" s="14" t="n">
        <v>0.6</v>
      </c>
      <c r="E6" s="14" t="n">
        <v>0.7</v>
      </c>
      <c r="F6" s="3" t="inlineStr">
        <is>
          <t>Precio y mensajes: packages/core/src/billing/plans.ts. Mezcla y uso: supuesto.</t>
        </is>
      </c>
    </row>
    <row r="7">
      <c r="A7" s="5" t="inlineStr">
        <is>
          <t>Negocio</t>
        </is>
      </c>
      <c r="B7" s="12" t="n">
        <v>19.99</v>
      </c>
      <c r="C7" s="13" t="n">
        <v>400</v>
      </c>
      <c r="D7" s="14" t="n">
        <v>0.35</v>
      </c>
      <c r="E7" s="14" t="n">
        <v>0.7</v>
      </c>
      <c r="F7" s="3" t="inlineStr">
        <is>
          <t>Precio y mensajes: packages/core/src/billing/plans.ts. Mezcla y uso: supuesto.</t>
        </is>
      </c>
    </row>
    <row r="8">
      <c r="A8" s="5" t="inlineStr">
        <is>
          <t>Negocio Plus</t>
        </is>
      </c>
      <c r="B8" s="12" t="n">
        <v>39.99</v>
      </c>
      <c r="C8" s="13" t="n">
        <v>1000</v>
      </c>
      <c r="D8" s="14" t="n">
        <v>0.05</v>
      </c>
      <c r="E8" s="14" t="n">
        <v>0.6</v>
      </c>
      <c r="F8" s="3" t="inlineStr">
        <is>
          <t>Precio y mensajes: packages/core/src/billing/plans.ts. Mezcla y uso: supuesto.</t>
        </is>
      </c>
    </row>
    <row r="9">
      <c r="A9" s="2" t="n"/>
      <c r="B9" s="2" t="n"/>
      <c r="C9" s="3" t="inlineStr">
        <is>
          <t>Total mezcla (debe dar 100 %)</t>
        </is>
      </c>
      <c r="D9" s="15">
        <f>SUM(D6:D8)</f>
        <v/>
      </c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9" t="inlineStr">
        <is>
          <t>Fundadores y recargas</t>
        </is>
      </c>
      <c r="B11" s="10" t="n"/>
      <c r="C11" s="10" t="n"/>
      <c r="D11" s="10" t="n"/>
      <c r="E11" s="10" t="n"/>
      <c r="F11" s="10" t="n"/>
    </row>
    <row r="12">
      <c r="A12" s="5" t="inlineStr">
        <is>
          <t>Descuento fundador</t>
        </is>
      </c>
      <c r="B12" s="16" t="n">
        <v>0.4</v>
      </c>
      <c r="C12" s="3" t="inlineStr">
        <is>
          <t>Decisión de Javier (07/10/2026): 40 % para los primeros 50.</t>
        </is>
      </c>
      <c r="D12" s="2" t="n"/>
      <c r="E12" s="2" t="n"/>
      <c r="F12" s="2" t="n"/>
    </row>
    <row r="13">
      <c r="A13" s="5" t="inlineStr">
        <is>
          <t>Meses pagando con precio fundador</t>
        </is>
      </c>
      <c r="B13" s="13" t="n">
        <v>6</v>
      </c>
      <c r="C13" s="3" t="inlineStr">
        <is>
          <t>Fundador dura 7 meses desde el registro; el primero (≈) es la prueba gratis.</t>
        </is>
      </c>
      <c r="D13" s="2" t="n"/>
      <c r="E13" s="2" t="n"/>
      <c r="F13" s="2" t="n"/>
    </row>
    <row r="14">
      <c r="A14" s="5" t="inlineStr">
        <is>
          <t>Cupos de fundador</t>
        </is>
      </c>
      <c r="B14" s="13" t="n">
        <v>50</v>
      </c>
      <c r="C14" s="3" t="inlineStr">
        <is>
          <t>Decisión de Javier.</t>
        </is>
      </c>
      <c r="D14" s="2" t="n"/>
      <c r="E14" s="2" t="n"/>
      <c r="F14" s="2" t="n"/>
    </row>
    <row r="15">
      <c r="A15" s="5" t="inlineStr">
        <is>
          <t>Recarga grande: precio ($)</t>
        </is>
      </c>
      <c r="B15" s="12" t="n">
        <v>4</v>
      </c>
      <c r="C15" s="3" t="inlineStr">
        <is>
          <t>+100 mensajes por $4 (plans.ts). La chica (+20 por $1) está en la hoja Margen por plan.</t>
        </is>
      </c>
      <c r="D15" s="2" t="n"/>
      <c r="E15" s="2" t="n"/>
      <c r="F15" s="2" t="n"/>
    </row>
    <row r="16">
      <c r="A16" s="5" t="inlineStr">
        <is>
          <t>Recarga grande: mensajes</t>
        </is>
      </c>
      <c r="B16" s="13" t="n">
        <v>100</v>
      </c>
      <c r="C16" s="3" t="inlineStr">
        <is>
          <t>plans.ts.</t>
        </is>
      </c>
      <c r="D16" s="2" t="n"/>
      <c r="E16" s="2" t="n"/>
      <c r="F16" s="2" t="n"/>
    </row>
    <row r="17">
      <c r="A17" s="5" t="inlineStr">
        <is>
          <t>% de clientes que compran 1 recarga grande al mes</t>
        </is>
      </c>
      <c r="B17" s="14" t="n">
        <v>0.1</v>
      </c>
      <c r="C17" s="3" t="inlineStr">
        <is>
          <t>Supuesto: quien llega al tope y quiere seguir. Conservador: no cuenta las chicas.</t>
        </is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9" t="inlineStr">
        <is>
          <t>Costo variable por mensaje del usuario</t>
        </is>
      </c>
      <c r="B19" s="10" t="n"/>
      <c r="C19" s="10" t="n"/>
      <c r="D19" s="10" t="n"/>
      <c r="E19" s="10" t="n"/>
      <c r="F19" s="10" t="n"/>
    </row>
    <row r="20">
      <c r="A20" s="5" t="inlineStr">
        <is>
          <t>IA por mensaje entrante ($)</t>
        </is>
      </c>
      <c r="B20" s="17">
        <f>'Datos reales'!J9</f>
        <v/>
      </c>
      <c r="C20" s="3" t="inlineStr">
        <is>
          <t>Medido: costo de IA / mensajes entrantes del piloto (hoja Datos reales).</t>
        </is>
      </c>
      <c r="D20" s="2" t="n"/>
      <c r="E20" s="2" t="n"/>
      <c r="F20" s="2" t="n"/>
    </row>
    <row r="21">
      <c r="A21" s="5" t="inlineStr">
        <is>
          <t>Respuestas por mensaje entrante</t>
        </is>
      </c>
      <c r="B21" s="18">
        <f>'Datos reales'!K9</f>
        <v/>
      </c>
      <c r="C21" s="3" t="inlineStr">
        <is>
          <t>Medido en el piloto (≈1 respuesta por mensaje).</t>
        </is>
      </c>
      <c r="D21" s="2" t="n"/>
      <c r="E21" s="2" t="n"/>
      <c r="F21" s="2" t="n"/>
    </row>
    <row r="22">
      <c r="A22" s="5" t="inlineStr">
        <is>
          <t>Meta: costo por respuesta ($)</t>
        </is>
      </c>
      <c r="B22" s="19" t="n">
        <v>0.0113</v>
      </c>
      <c r="C22" s="3" t="inlineStr">
        <is>
          <t>Tarifa de servicio Meta para Venezuela desde el 01/10/2026 (respuestas dentro de la ventana de 24 h).</t>
        </is>
      </c>
      <c r="D22" s="2" t="n"/>
      <c r="E22" s="2" t="n"/>
      <c r="F22" s="2" t="n"/>
    </row>
    <row r="23">
      <c r="A23" s="5" t="inlineStr">
        <is>
          <t>Meta: respuestas gratis al mes (por número)</t>
        </is>
      </c>
      <c r="B23" s="13" t="n">
        <v>1000</v>
      </c>
      <c r="C23" s="3" t="inlineStr">
        <is>
          <t>Meta regala 1.000 mensajes de servicio al mes por número.</t>
        </is>
      </c>
      <c r="D23" s="2" t="n"/>
      <c r="E23" s="2" t="n"/>
      <c r="F23" s="2" t="n"/>
    </row>
    <row r="24">
      <c r="A24" s="5" t="inlineStr">
        <is>
          <t>% de mensajes que son nota de voz</t>
        </is>
      </c>
      <c r="B24" s="20">
        <f>'Datos reales'!L9</f>
        <v/>
      </c>
      <c r="C24" s="3" t="inlineStr">
        <is>
          <t>Medido en el piloto.</t>
        </is>
      </c>
      <c r="D24" s="2" t="n"/>
      <c r="E24" s="2" t="n"/>
      <c r="F24" s="2" t="n"/>
    </row>
    <row r="25">
      <c r="A25" s="5" t="inlineStr">
        <is>
          <t>Costo por nota de voz ($)</t>
        </is>
      </c>
      <c r="B25" s="21" t="n">
        <v>0.003</v>
      </c>
      <c r="C25" s="3" t="inlineStr">
        <is>
          <t>Transcripción (Deepgram), nota típica de 20-25 s. Igual al tope de prueba (trial.ts).</t>
        </is>
      </c>
      <c r="D25" s="2" t="n"/>
      <c r="E25" s="2" t="n"/>
      <c r="F25" s="2" t="n"/>
    </row>
    <row r="26">
      <c r="A26" s="5" t="inlineStr">
        <is>
          <t>Comisión de cobro (% del ingreso)</t>
        </is>
      </c>
      <c r="B26" s="16" t="n">
        <v>0</v>
      </c>
      <c r="C26" s="3" t="inlineStr">
        <is>
          <t>Pago móvil, Zelle y Binance sin comisión hoy. Si usas pasarela, cámbialo.</t>
        </is>
      </c>
      <c r="D26" s="2" t="n"/>
      <c r="E26" s="2" t="n"/>
      <c r="F26" s="2" t="n"/>
    </row>
    <row r="27">
      <c r="A27" s="5" t="inlineStr">
        <is>
          <t>Impuestos sobre el ingreso (%)</t>
        </is>
      </c>
      <c r="B27" s="14" t="n">
        <v>0</v>
      </c>
      <c r="C27" s="3" t="inlineStr">
        <is>
          <t>0 % mientras sea informal. Si facturas: IVA 16 %; IGTF 3 % en divisas. Consulta a tu contador.</t>
        </is>
      </c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9" t="inlineStr">
        <is>
          <t>Costos fijos al mes (USD)</t>
        </is>
      </c>
      <c r="B29" s="10" t="n"/>
      <c r="C29" s="10" t="n"/>
      <c r="D29" s="10" t="n"/>
      <c r="E29" s="10" t="n"/>
      <c r="F29" s="10" t="n"/>
    </row>
    <row r="30">
      <c r="A30" s="5" t="inlineStr">
        <is>
          <t>Railway (worker del bot)</t>
        </is>
      </c>
      <c r="B30" s="12" t="n">
        <v>8</v>
      </c>
      <c r="C30" s="3" t="inlineStr">
        <is>
          <t>Estimado: plan Hobby $5 + uso. Cambia por tu factura.</t>
        </is>
      </c>
      <c r="D30" s="2" t="n"/>
      <c r="E30" s="2" t="n"/>
      <c r="F30" s="2" t="n"/>
    </row>
    <row r="31">
      <c r="A31" s="5" t="inlineStr">
        <is>
          <t>Supabase (base de datos)</t>
        </is>
      </c>
      <c r="B31" s="12" t="n">
        <v>0</v>
      </c>
      <c r="C31" s="3" t="inlineStr">
        <is>
          <t>Plan gratis hoy. Pro: $25/mes cuando crezcas o quieras respaldos diarios.</t>
        </is>
      </c>
      <c r="D31" s="2" t="n"/>
      <c r="E31" s="2" t="n"/>
      <c r="F31" s="2" t="n"/>
    </row>
    <row r="32">
      <c r="A32" s="5" t="inlineStr">
        <is>
          <t>Vercel (página web y panel)</t>
        </is>
      </c>
      <c r="B32" s="12" t="n">
        <v>20</v>
      </c>
      <c r="C32" s="3" t="inlineStr">
        <is>
          <t>Pro $20/mes: el plan gratis de Vercel no permite uso comercial.</t>
        </is>
      </c>
      <c r="D32" s="2" t="n"/>
      <c r="E32" s="2" t="n"/>
      <c r="F32" s="2" t="n"/>
    </row>
    <row r="33">
      <c r="A33" s="5" t="inlineStr">
        <is>
          <t>Dominio holarocco.com</t>
        </is>
      </c>
      <c r="B33" s="12">
        <f>11.25/12</f>
        <v/>
      </c>
      <c r="C33" s="3" t="inlineStr">
        <is>
          <t>Vercel: $11,25 al año.</t>
        </is>
      </c>
      <c r="D33" s="2" t="n"/>
      <c r="E33" s="2" t="n"/>
      <c r="F33" s="2" t="n"/>
    </row>
    <row r="34">
      <c r="A34" s="5" t="inlineStr">
        <is>
          <t>Línea Movistar del bot</t>
        </is>
      </c>
      <c r="B34" s="12" t="n">
        <v>3</v>
      </c>
      <c r="C34" s="3" t="inlineStr">
        <is>
          <t>Estimado del plan mensual de la línea. Cambia por tu recarga real.</t>
        </is>
      </c>
      <c r="D34" s="2" t="n"/>
      <c r="E34" s="2" t="n"/>
      <c r="F34" s="2" t="n"/>
    </row>
    <row r="35">
      <c r="A35" s="5" t="inlineStr">
        <is>
          <t>Otros (Sentry, correo, varios)</t>
        </is>
      </c>
      <c r="B35" s="12" t="n">
        <v>0</v>
      </c>
      <c r="C35" s="3" t="inlineStr">
        <is>
          <t>Planes gratis hoy.</t>
        </is>
      </c>
      <c r="D35" s="2" t="n"/>
      <c r="E35" s="2" t="n"/>
      <c r="F35" s="2" t="n"/>
    </row>
    <row r="36">
      <c r="A36" s="4" t="inlineStr">
        <is>
          <t>Total costos fijos</t>
        </is>
      </c>
      <c r="B36" s="22">
        <f>SUM(B30:B35)</f>
        <v/>
      </c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9" t="inlineStr">
        <is>
          <t>Prueba gratis (beta: 14 días desde el registro o N mensajes, lo que llegue primero)</t>
        </is>
      </c>
      <c r="B38" s="10" t="n"/>
      <c r="C38" s="10" t="n"/>
      <c r="D38" s="10" t="n"/>
      <c r="E38" s="10" t="n"/>
      <c r="F38" s="10" t="n"/>
    </row>
    <row r="39">
      <c r="A39" s="5" t="inlineStr">
        <is>
          <t>Días de prueba</t>
        </is>
      </c>
      <c r="B39" s="13" t="n">
        <v>14</v>
      </c>
      <c r="C39" s="3" t="inlineStr">
        <is>
          <t>TRIAL_DAYS en plans.ts.</t>
        </is>
      </c>
      <c r="D39" s="2" t="n"/>
      <c r="E39" s="2" t="n"/>
      <c r="F39" s="2" t="n"/>
    </row>
    <row r="40">
      <c r="A40" s="5" t="inlineStr">
        <is>
          <t>Mensajes de la prueba, Personal</t>
        </is>
      </c>
      <c r="B40" s="13" t="n">
        <v>100</v>
      </c>
      <c r="C40" s="3" t="inlineStr">
        <is>
          <t>trialMessages en plans.ts (07/10/2026). Al pasarlos, Rocco deja de registrar.</t>
        </is>
      </c>
      <c r="D40" s="2" t="n"/>
      <c r="E40" s="2" t="n"/>
      <c r="F40" s="2" t="n"/>
    </row>
    <row r="41">
      <c r="A41" s="5" t="inlineStr">
        <is>
          <t>Mensajes de la prueba, Negocio</t>
        </is>
      </c>
      <c r="B41" s="13" t="n">
        <v>200</v>
      </c>
      <c r="C41" s="3" t="inlineStr">
        <is>
          <t>Ídem. Plus: 300. Hay además una red de seguridad en $ (4 / 8 / 12) por si alguien manda muchas fotos.</t>
        </is>
      </c>
      <c r="D41" s="2" t="n"/>
      <c r="E41" s="2" t="n"/>
      <c r="F4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70" customWidth="1" min="3" max="3"/>
  </cols>
  <sheetData>
    <row r="1">
      <c r="A1" s="1" t="inlineStr">
        <is>
          <t>Costo por mensaje del usuario</t>
        </is>
      </c>
      <c r="B1" s="2" t="n"/>
      <c r="C1" s="2" t="n"/>
    </row>
    <row r="2">
      <c r="A2" s="3" t="inlineStr">
        <is>
          <t>El peor caso cuenta Meta completo; en la hoja Fundadores se descuentan las 1.000 respuestas gratis del mes.</t>
        </is>
      </c>
      <c r="B2" s="2" t="n"/>
      <c r="C2" s="2" t="n"/>
    </row>
    <row r="3">
      <c r="A3" s="2" t="n"/>
      <c r="B3" s="2" t="n"/>
      <c r="C3" s="2" t="n"/>
    </row>
    <row r="4">
      <c r="A4" s="11" t="inlineStr">
        <is>
          <t>Componente</t>
        </is>
      </c>
      <c r="B4" s="11" t="inlineStr">
        <is>
          <t>USD por mensaje</t>
        </is>
      </c>
      <c r="C4" s="11" t="inlineStr">
        <is>
          <t>Cómo se calcula</t>
        </is>
      </c>
    </row>
    <row r="5">
      <c r="A5" s="5" t="inlineStr">
        <is>
          <t>IA (Anthropic)</t>
        </is>
      </c>
      <c r="B5" s="23">
        <f>Supuestos!B20</f>
        <v/>
      </c>
      <c r="C5" s="3" t="inlineStr">
        <is>
          <t>Medido en producción.</t>
        </is>
      </c>
    </row>
    <row r="6">
      <c r="A6" s="5" t="inlineStr">
        <is>
          <t>Meta (respuesta de Rocco)</t>
        </is>
      </c>
      <c r="B6" s="23">
        <f>Supuestos!B21*Supuestos!B22</f>
        <v/>
      </c>
      <c r="C6" s="3" t="inlineStr">
        <is>
          <t>Respuestas por mensaje × tarifa.</t>
        </is>
      </c>
    </row>
    <row r="7">
      <c r="A7" s="5" t="inlineStr">
        <is>
          <t>Notas de voz</t>
        </is>
      </c>
      <c r="B7" s="23">
        <f>Supuestos!B24*Supuestos!B25</f>
        <v/>
      </c>
      <c r="C7" s="3" t="inlineStr">
        <is>
          <t>% de notas de voz × costo por nota.</t>
        </is>
      </c>
    </row>
    <row r="8">
      <c r="A8" s="4" t="inlineStr">
        <is>
          <t>Total por mensaje</t>
        </is>
      </c>
      <c r="B8" s="24">
        <f>SUM(B5:B7)</f>
        <v/>
      </c>
      <c r="C8" s="2" t="n"/>
    </row>
    <row r="9">
      <c r="A9" s="2" t="inlineStr">
        <is>
          <t>Costo por 100 mensajes</t>
        </is>
      </c>
      <c r="B9" s="25">
        <f>B8*100</f>
        <v/>
      </c>
      <c r="C9" s="2" t="n"/>
    </row>
    <row r="10">
      <c r="A10" s="2" t="inlineStr">
        <is>
          <t>Precio mínimo por 100 mensajes para 60 % de margen</t>
        </is>
      </c>
      <c r="B10" s="25">
        <f>B9/(1-0.6)</f>
        <v/>
      </c>
      <c r="C10" s="3" t="inlineStr">
        <is>
          <t>Regla del modelo de negocio: precio ≥ 2,5 × el costo en el peor caso.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Margen por cliente al 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Uso esperado = mensajes incluidos × uso esperado %. Peor caso = usa todos sus mensajes.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1" t="inlineStr">
        <is>
          <t>Plan</t>
        </is>
      </c>
      <c r="B4" s="11" t="inlineStr">
        <is>
          <t>Precio lista</t>
        </is>
      </c>
      <c r="C4" s="11" t="inlineStr">
        <is>
          <t>Precio fundador</t>
        </is>
      </c>
      <c r="D4" s="11" t="inlineStr">
        <is>
          <t>Mensajes incluidos</t>
        </is>
      </c>
      <c r="E4" s="11" t="inlineStr">
        <is>
          <t>Mensajes esperados</t>
        </is>
      </c>
      <c r="F4" s="11" t="inlineStr">
        <is>
          <t>Costo esperado</t>
        </is>
      </c>
      <c r="G4" s="11" t="inlineStr">
        <is>
          <t>Costo peor caso</t>
        </is>
      </c>
      <c r="H4" s="11" t="inlineStr">
        <is>
          <t>Margen lista $</t>
        </is>
      </c>
      <c r="I4" s="11" t="inlineStr">
        <is>
          <t>Margen lista %</t>
        </is>
      </c>
      <c r="J4" s="11" t="inlineStr">
        <is>
          <t>Margen fundador $</t>
        </is>
      </c>
      <c r="K4" s="11" t="inlineStr">
        <is>
          <t>Margen fundador %</t>
        </is>
      </c>
      <c r="L4" s="11" t="inlineStr">
        <is>
          <t>Margen fundador peor caso $</t>
        </is>
      </c>
    </row>
    <row r="5">
      <c r="A5" s="8">
        <f>Supuestos!A6</f>
        <v/>
      </c>
      <c r="B5" s="26">
        <f>Supuestos!B6</f>
        <v/>
      </c>
      <c r="C5" s="26">
        <f>B5*(1-Supuestos!$B$12)</f>
        <v/>
      </c>
      <c r="D5" s="27">
        <f>Supuestos!C6</f>
        <v/>
      </c>
      <c r="E5" s="27">
        <f>D5*Supuestos!E6</f>
        <v/>
      </c>
      <c r="F5" s="26">
        <f>E5*'Costo por mensaje'!$B$8</f>
        <v/>
      </c>
      <c r="G5" s="26">
        <f>D5*'Costo por mensaje'!$B$8</f>
        <v/>
      </c>
      <c r="H5" s="26">
        <f>B5*(1-Supuestos!$B$26-Supuestos!$B$27)-F5</f>
        <v/>
      </c>
      <c r="I5" s="15">
        <f>IF(B5=0,0,H5/B5)</f>
        <v/>
      </c>
      <c r="J5" s="26">
        <f>C5*(1-Supuestos!$B$26-Supuestos!$B$27)-F5</f>
        <v/>
      </c>
      <c r="K5" s="15">
        <f>IF(C5=0,0,J5/C5)</f>
        <v/>
      </c>
      <c r="L5" s="26">
        <f>C5*(1-Supuestos!$B$26-Supuestos!$B$27)-G5</f>
        <v/>
      </c>
    </row>
    <row r="6">
      <c r="A6" s="8">
        <f>Supuestos!A7</f>
        <v/>
      </c>
      <c r="B6" s="26">
        <f>Supuestos!B7</f>
        <v/>
      </c>
      <c r="C6" s="26">
        <f>B6*(1-Supuestos!$B$12)</f>
        <v/>
      </c>
      <c r="D6" s="27">
        <f>Supuestos!C7</f>
        <v/>
      </c>
      <c r="E6" s="27">
        <f>D6*Supuestos!E7</f>
        <v/>
      </c>
      <c r="F6" s="26">
        <f>E6*'Costo por mensaje'!$B$8</f>
        <v/>
      </c>
      <c r="G6" s="26">
        <f>D6*'Costo por mensaje'!$B$8</f>
        <v/>
      </c>
      <c r="H6" s="26">
        <f>B6*(1-Supuestos!$B$26-Supuestos!$B$27)-F6</f>
        <v/>
      </c>
      <c r="I6" s="15">
        <f>IF(B6=0,0,H6/B6)</f>
        <v/>
      </c>
      <c r="J6" s="26">
        <f>C6*(1-Supuestos!$B$26-Supuestos!$B$27)-F6</f>
        <v/>
      </c>
      <c r="K6" s="15">
        <f>IF(C6=0,0,J6/C6)</f>
        <v/>
      </c>
      <c r="L6" s="26">
        <f>C6*(1-Supuestos!$B$26-Supuestos!$B$27)-G6</f>
        <v/>
      </c>
    </row>
    <row r="7">
      <c r="A7" s="8">
        <f>Supuestos!A8</f>
        <v/>
      </c>
      <c r="B7" s="26">
        <f>Supuestos!B8</f>
        <v/>
      </c>
      <c r="C7" s="26">
        <f>B7*(1-Supuestos!$B$12)</f>
        <v/>
      </c>
      <c r="D7" s="27">
        <f>Supuestos!C8</f>
        <v/>
      </c>
      <c r="E7" s="27">
        <f>D7*Supuestos!E8</f>
        <v/>
      </c>
      <c r="F7" s="26">
        <f>E7*'Costo por mensaje'!$B$8</f>
        <v/>
      </c>
      <c r="G7" s="26">
        <f>D7*'Costo por mensaje'!$B$8</f>
        <v/>
      </c>
      <c r="H7" s="26">
        <f>B7*(1-Supuestos!$B$26-Supuestos!$B$27)-F7</f>
        <v/>
      </c>
      <c r="I7" s="15">
        <f>IF(B7=0,0,H7/B7)</f>
        <v/>
      </c>
      <c r="J7" s="26">
        <f>C7*(1-Supuestos!$B$26-Supuestos!$B$27)-F7</f>
        <v/>
      </c>
      <c r="K7" s="15">
        <f>IF(C7=0,0,J7/C7)</f>
        <v/>
      </c>
      <c r="L7" s="26">
        <f>C7*(1-Supuestos!$B$26-Supuestos!$B$27)-G7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Recarga (+100 mensajes)</t>
        </is>
      </c>
      <c r="B9" s="26">
        <f>Supuestos!B15</f>
        <v/>
      </c>
      <c r="C9" s="2" t="n"/>
      <c r="D9" s="27">
        <f>Supuestos!B16</f>
        <v/>
      </c>
      <c r="E9" s="2" t="n"/>
      <c r="F9" s="2" t="n"/>
      <c r="G9" s="26">
        <f>D9*'Costo por mensaje'!$B$8</f>
        <v/>
      </c>
      <c r="H9" s="26">
        <f>B9*(1-Supuestos!$B$26-Supuestos!$B$27)-G9</f>
        <v/>
      </c>
      <c r="I9" s="15">
        <f>IF(B9=0,0,H9/B9)</f>
        <v/>
      </c>
      <c r="J9" s="2" t="n"/>
      <c r="K9" s="2" t="n"/>
      <c r="L9" s="2" t="n"/>
    </row>
    <row r="10">
      <c r="A10" s="4" t="inlineStr">
        <is>
          <t>Recarga chica (+20 mensajes)</t>
        </is>
      </c>
      <c r="B10" s="12" t="n">
        <v>1</v>
      </c>
      <c r="C10" s="2" t="n"/>
      <c r="D10" s="13" t="n">
        <v>20</v>
      </c>
      <c r="E10" s="2" t="n"/>
      <c r="F10" s="2" t="n"/>
      <c r="G10" s="26">
        <f>D10*'Costo por mensaje'!$B$8</f>
        <v/>
      </c>
      <c r="H10" s="26">
        <f>B10*(1-Supuestos!$B$26-Supuestos!$B$27)-G10</f>
        <v/>
      </c>
      <c r="I10" s="15">
        <f>IF(B10=0,0,H10/B10)</f>
        <v/>
      </c>
      <c r="J10" s="2" t="n"/>
      <c r="K10" s="2" t="n"/>
      <c r="L10" s="2" t="n"/>
    </row>
    <row r="11">
      <c r="A11" s="4" t="inlineStr">
        <is>
          <t>Promedio ponderado por la mezcla de clientes</t>
        </is>
      </c>
      <c r="B11" s="26">
        <f>SUMPRODUCT(B5:B7,Supuestos!D6:D8)</f>
        <v/>
      </c>
      <c r="C11" s="26">
        <f>SUMPRODUCT(C5:C7,Supuestos!D6:D8)</f>
        <v/>
      </c>
      <c r="D11" s="2" t="n"/>
      <c r="E11" s="2" t="n"/>
      <c r="F11" s="26">
        <f>SUMPRODUCT(F5:F7,Supuestos!D6:D8)</f>
        <v/>
      </c>
      <c r="G11" s="2" t="n"/>
      <c r="H11" s="26">
        <f>SUMPRODUCT(H5:H7,Supuestos!D6:D8)</f>
        <v/>
      </c>
      <c r="I11" s="15">
        <f>IF(B11=0,0,H11/B11)</f>
        <v/>
      </c>
      <c r="J11" s="26">
        <f>SUMPRODUCT(J5:J7,Supuestos!D6:D8)</f>
        <v/>
      </c>
      <c r="K11" s="15">
        <f>IF(C11=0,0,J11/C11)</f>
        <v/>
      </c>
      <c r="L11" s="2" t="n"/>
    </row>
    <row r="12">
      <c r="A12" s="2" t="inlineStr">
        <is>
          <t>Recarga promedio por cliente (margen)</t>
        </is>
      </c>
      <c r="B12" s="2" t="n"/>
      <c r="C12" s="2" t="n"/>
      <c r="D12" s="2" t="n"/>
      <c r="E12" s="2" t="n"/>
      <c r="F12" s="2" t="n"/>
      <c r="G12" s="2" t="n"/>
      <c r="H12" s="26">
        <f>Supuestos!B17*H9</f>
        <v/>
      </c>
      <c r="I12" s="2" t="n"/>
      <c r="J12" s="2" t="n"/>
      <c r="K12" s="2" t="n"/>
      <c r="L12" s="2" t="n"/>
    </row>
    <row r="13">
      <c r="A13" s="4" t="inlineStr">
        <is>
          <t>Margen total por cliente, con recargas (lista)</t>
        </is>
      </c>
      <c r="B13" s="2" t="n"/>
      <c r="C13" s="2" t="n"/>
      <c r="D13" s="2" t="n"/>
      <c r="E13" s="2" t="n"/>
      <c r="F13" s="2" t="n"/>
      <c r="G13" s="2" t="n"/>
      <c r="H13" s="22">
        <f>H11+H12</f>
        <v/>
      </c>
      <c r="I13" s="2" t="n"/>
      <c r="J13" s="2" t="n"/>
      <c r="K13" s="2" t="n"/>
      <c r="L13" s="2" t="n"/>
    </row>
    <row r="14">
      <c r="A14" s="4" t="inlineStr">
        <is>
          <t>Margen total por cliente, con recargas (fundador)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2">
        <f>J11+H12</f>
        <v/>
      </c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3" t="inlineStr">
        <is>
          <t>Nota: el peor caso del fundador muestra si algún plan pierde plata con el descuento cuando el cliente usa todo. Si sale negativo, baja los mensajes del plan fundador o el descuento.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Punto de equilibrio</t>
        </is>
      </c>
      <c r="B1" s="2" t="n"/>
      <c r="C1" s="2" t="n"/>
      <c r="D1" s="2" t="n"/>
      <c r="E1" s="2" t="n"/>
      <c r="F1" s="2" t="n"/>
    </row>
    <row r="2">
      <c r="A2" s="3" t="inlineStr">
        <is>
          <t>Clientes que pagan necesarios para cubrir los costos fijos del mes.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1" t="inlineStr">
        <is>
          <t>Concepto</t>
        </is>
      </c>
      <c r="B4" s="11" t="inlineStr">
        <is>
          <t>Precio de lista</t>
        </is>
      </c>
      <c r="C4" s="11" t="inlineStr">
        <is>
          <t>Precio fundador</t>
        </is>
      </c>
      <c r="D4" s="2" t="n"/>
      <c r="E4" s="2" t="n"/>
      <c r="F4" s="2" t="n"/>
    </row>
    <row r="5">
      <c r="A5" s="2" t="inlineStr">
        <is>
          <t>Costos fijos al mes</t>
        </is>
      </c>
      <c r="B5" s="26">
        <f>Supuestos!B36</f>
        <v/>
      </c>
      <c r="C5" s="26">
        <f>Supuestos!B36</f>
        <v/>
      </c>
      <c r="D5" s="2" t="n"/>
      <c r="E5" s="2" t="n"/>
      <c r="F5" s="2" t="n"/>
    </row>
    <row r="6">
      <c r="A6" s="2" t="inlineStr">
        <is>
          <t>Margen por cliente al mes (con recargas)</t>
        </is>
      </c>
      <c r="B6" s="26">
        <f>'Margen por plan'!H13</f>
        <v/>
      </c>
      <c r="C6" s="26">
        <f>'Margen por plan'!J14</f>
        <v/>
      </c>
      <c r="D6" s="2" t="n"/>
      <c r="E6" s="2" t="n"/>
      <c r="F6" s="2" t="n"/>
    </row>
    <row r="7">
      <c r="A7" s="4" t="inlineStr">
        <is>
          <t>Clientes que pagan para cubrir los fijos</t>
        </is>
      </c>
      <c r="B7" s="28">
        <f>IF(B6&lt;=0,"no se cubre",-INT(-B5/B6))</f>
        <v/>
      </c>
      <c r="C7" s="28">
        <f>IF(C6&lt;=0,"no se cubre",-INT(-C5/C6))</f>
        <v/>
      </c>
      <c r="D7" s="2" t="n"/>
      <c r="E7" s="2" t="n"/>
      <c r="F7" s="2" t="n"/>
    </row>
    <row r="8">
      <c r="A8" s="2" t="inlineStr">
        <is>
          <t>Ingreso mensual en el punto de equilibrio</t>
        </is>
      </c>
      <c r="B8" s="26">
        <f>IF(ISNUMBER(B7),B7*'Margen por plan'!B11,0)</f>
        <v/>
      </c>
      <c r="C8" s="26">
        <f>IF(ISNUMBER(C7),C7*'Margen por plan'!C11,0)</f>
        <v/>
      </c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Ganancia mensual según cantidad de clientes que pagan (precio de lista; Meta con sus 1.000 respuestas gratis)</t>
        </is>
      </c>
      <c r="B10" s="2" t="n"/>
      <c r="C10" s="2" t="n"/>
      <c r="D10" s="2" t="n"/>
      <c r="E10" s="2" t="n"/>
      <c r="F10" s="2" t="n"/>
    </row>
    <row r="11">
      <c r="A11" s="11" t="inlineStr">
        <is>
          <t>Clientes que pagan</t>
        </is>
      </c>
      <c r="B11" s="11" t="inlineStr">
        <is>
          <t>Ingreso</t>
        </is>
      </c>
      <c r="C11" s="11" t="inlineStr">
        <is>
          <t>Costo variable</t>
        </is>
      </c>
      <c r="D11" s="11" t="inlineStr">
        <is>
          <t>Costos fijos</t>
        </is>
      </c>
      <c r="E11" s="11" t="inlineStr">
        <is>
          <t>Ganancia</t>
        </is>
      </c>
      <c r="F11" s="11" t="inlineStr">
        <is>
          <t>Margen %</t>
        </is>
      </c>
    </row>
    <row r="12">
      <c r="A12" s="13" t="n">
        <v>10</v>
      </c>
      <c r="B12" s="26">
        <f>A12*('Margen por plan'!$B$11+Supuestos!$B$17*Supuestos!$B$15)</f>
        <v/>
      </c>
      <c r="C12" s="26">
        <f>A12*(SUMPRODUCT(Supuestos!$C$6:$C$8,Supuestos!$D$6:$D$8,Supuestos!$E$6:$E$8)+Supuestos!$B$17*Supuestos!$B$16)*('Costo por mensaje'!$B$5+'Costo por mensaje'!$B$7)+MAX(0,A12*(SUMPRODUCT(Supuestos!$C$6:$C$8,Supuestos!$D$6:$D$8,Supuestos!$E$6:$E$8)+Supuestos!$B$17*Supuestos!$B$16)*Supuestos!$B$21-Supuestos!$B$23)*Supuestos!$B$22+B12*(Supuestos!$B$26+Supuestos!$B$27)</f>
        <v/>
      </c>
      <c r="D12" s="26">
        <f>Supuestos!$B$36</f>
        <v/>
      </c>
      <c r="E12" s="25">
        <f>B12-C12-D12</f>
        <v/>
      </c>
      <c r="F12" s="15">
        <f>IF(B12=0,0,E12/B12)</f>
        <v/>
      </c>
    </row>
    <row r="13">
      <c r="A13" s="13" t="n">
        <v>25</v>
      </c>
      <c r="B13" s="26">
        <f>A13*('Margen por plan'!$B$11+Supuestos!$B$17*Supuestos!$B$15)</f>
        <v/>
      </c>
      <c r="C13" s="26">
        <f>A13*(SUMPRODUCT(Supuestos!$C$6:$C$8,Supuestos!$D$6:$D$8,Supuestos!$E$6:$E$8)+Supuestos!$B$17*Supuestos!$B$16)*('Costo por mensaje'!$B$5+'Costo por mensaje'!$B$7)+MAX(0,A13*(SUMPRODUCT(Supuestos!$C$6:$C$8,Supuestos!$D$6:$D$8,Supuestos!$E$6:$E$8)+Supuestos!$B$17*Supuestos!$B$16)*Supuestos!$B$21-Supuestos!$B$23)*Supuestos!$B$22+B13*(Supuestos!$B$26+Supuestos!$B$27)</f>
        <v/>
      </c>
      <c r="D13" s="26">
        <f>Supuestos!$B$36</f>
        <v/>
      </c>
      <c r="E13" s="25">
        <f>B13-C13-D13</f>
        <v/>
      </c>
      <c r="F13" s="15">
        <f>IF(B13=0,0,E13/B13)</f>
        <v/>
      </c>
    </row>
    <row r="14">
      <c r="A14" s="13" t="n">
        <v>50</v>
      </c>
      <c r="B14" s="26">
        <f>A14*('Margen por plan'!$B$11+Supuestos!$B$17*Supuestos!$B$15)</f>
        <v/>
      </c>
      <c r="C14" s="26">
        <f>A14*(SUMPRODUCT(Supuestos!$C$6:$C$8,Supuestos!$D$6:$D$8,Supuestos!$E$6:$E$8)+Supuestos!$B$17*Supuestos!$B$16)*('Costo por mensaje'!$B$5+'Costo por mensaje'!$B$7)+MAX(0,A14*(SUMPRODUCT(Supuestos!$C$6:$C$8,Supuestos!$D$6:$D$8,Supuestos!$E$6:$E$8)+Supuestos!$B$17*Supuestos!$B$16)*Supuestos!$B$21-Supuestos!$B$23)*Supuestos!$B$22+B14*(Supuestos!$B$26+Supuestos!$B$27)</f>
        <v/>
      </c>
      <c r="D14" s="26">
        <f>Supuestos!$B$36</f>
        <v/>
      </c>
      <c r="E14" s="25">
        <f>B14-C14-D14</f>
        <v/>
      </c>
      <c r="F14" s="15">
        <f>IF(B14=0,0,E14/B14)</f>
        <v/>
      </c>
    </row>
    <row r="15">
      <c r="A15" s="13" t="n">
        <v>100</v>
      </c>
      <c r="B15" s="26">
        <f>A15*('Margen por plan'!$B$11+Supuestos!$B$17*Supuestos!$B$15)</f>
        <v/>
      </c>
      <c r="C15" s="26">
        <f>A15*(SUMPRODUCT(Supuestos!$C$6:$C$8,Supuestos!$D$6:$D$8,Supuestos!$E$6:$E$8)+Supuestos!$B$17*Supuestos!$B$16)*('Costo por mensaje'!$B$5+'Costo por mensaje'!$B$7)+MAX(0,A15*(SUMPRODUCT(Supuestos!$C$6:$C$8,Supuestos!$D$6:$D$8,Supuestos!$E$6:$E$8)+Supuestos!$B$17*Supuestos!$B$16)*Supuestos!$B$21-Supuestos!$B$23)*Supuestos!$B$22+B15*(Supuestos!$B$26+Supuestos!$B$27)</f>
        <v/>
      </c>
      <c r="D15" s="26">
        <f>Supuestos!$B$36</f>
        <v/>
      </c>
      <c r="E15" s="25">
        <f>B15-C15-D15</f>
        <v/>
      </c>
      <c r="F15" s="15">
        <f>IF(B15=0,0,E15/B15)</f>
        <v/>
      </c>
    </row>
    <row r="16">
      <c r="A16" s="13" t="n">
        <v>250</v>
      </c>
      <c r="B16" s="26">
        <f>A16*('Margen por plan'!$B$11+Supuestos!$B$17*Supuestos!$B$15)</f>
        <v/>
      </c>
      <c r="C16" s="26">
        <f>A16*(SUMPRODUCT(Supuestos!$C$6:$C$8,Supuestos!$D$6:$D$8,Supuestos!$E$6:$E$8)+Supuestos!$B$17*Supuestos!$B$16)*('Costo por mensaje'!$B$5+'Costo por mensaje'!$B$7)+MAX(0,A16*(SUMPRODUCT(Supuestos!$C$6:$C$8,Supuestos!$D$6:$D$8,Supuestos!$E$6:$E$8)+Supuestos!$B$17*Supuestos!$B$16)*Supuestos!$B$21-Supuestos!$B$23)*Supuestos!$B$22+B16*(Supuestos!$B$26+Supuestos!$B$27)</f>
        <v/>
      </c>
      <c r="D16" s="26">
        <f>Supuestos!$B$36</f>
        <v/>
      </c>
      <c r="E16" s="25">
        <f>B16-C16-D16</f>
        <v/>
      </c>
      <c r="F16" s="15">
        <f>IF(B16=0,0,E16/B16)</f>
        <v/>
      </c>
    </row>
    <row r="17">
      <c r="A17" s="13" t="n">
        <v>500</v>
      </c>
      <c r="B17" s="26">
        <f>A17*('Margen por plan'!$B$11+Supuestos!$B$17*Supuestos!$B$15)</f>
        <v/>
      </c>
      <c r="C17" s="26">
        <f>A17*(SUMPRODUCT(Supuestos!$C$6:$C$8,Supuestos!$D$6:$D$8,Supuestos!$E$6:$E$8)+Supuestos!$B$17*Supuestos!$B$16)*('Costo por mensaje'!$B$5+'Costo por mensaje'!$B$7)+MAX(0,A17*(SUMPRODUCT(Supuestos!$C$6:$C$8,Supuestos!$D$6:$D$8,Supuestos!$E$6:$E$8)+Supuestos!$B$17*Supuestos!$B$16)*Supuestos!$B$21-Supuestos!$B$23)*Supuestos!$B$22+B17*(Supuestos!$B$26+Supuestos!$B$27)</f>
        <v/>
      </c>
      <c r="D17" s="26">
        <f>Supuestos!$B$36</f>
        <v/>
      </c>
      <c r="E17" s="25">
        <f>B17-C17-D17</f>
        <v/>
      </c>
      <c r="F17" s="15">
        <f>IF(B17=0,0,E17/B17)</f>
        <v/>
      </c>
    </row>
    <row r="18">
      <c r="A18" s="13" t="n">
        <v>1000</v>
      </c>
      <c r="B18" s="26">
        <f>A18*('Margen por plan'!$B$11+Supuestos!$B$17*Supuestos!$B$15)</f>
        <v/>
      </c>
      <c r="C18" s="26">
        <f>A18*(SUMPRODUCT(Supuestos!$C$6:$C$8,Supuestos!$D$6:$D$8,Supuestos!$E$6:$E$8)+Supuestos!$B$17*Supuestos!$B$16)*('Costo por mensaje'!$B$5+'Costo por mensaje'!$B$7)+MAX(0,A18*(SUMPRODUCT(Supuestos!$C$6:$C$8,Supuestos!$D$6:$D$8,Supuestos!$E$6:$E$8)+Supuestos!$B$17*Supuestos!$B$16)*Supuestos!$B$21-Supuestos!$B$23)*Supuestos!$B$22+B18*(Supuestos!$B$26+Supuestos!$B$27)</f>
        <v/>
      </c>
      <c r="D18" s="26">
        <f>Supuestos!$B$36</f>
        <v/>
      </c>
      <c r="E18" s="25">
        <f>B18-C18-D18</f>
        <v/>
      </c>
      <c r="F18" s="15">
        <f>IF(B18=0,0,E18/B18)</f>
        <v/>
      </c>
    </row>
    <row r="19">
      <c r="A19" s="13" t="n">
        <v>2000</v>
      </c>
      <c r="B19" s="26">
        <f>A19*('Margen por plan'!$B$11+Supuestos!$B$17*Supuestos!$B$15)</f>
        <v/>
      </c>
      <c r="C19" s="26">
        <f>A19*(SUMPRODUCT(Supuestos!$C$6:$C$8,Supuestos!$D$6:$D$8,Supuestos!$E$6:$E$8)+Supuestos!$B$17*Supuestos!$B$16)*('Costo por mensaje'!$B$5+'Costo por mensaje'!$B$7)+MAX(0,A19*(SUMPRODUCT(Supuestos!$C$6:$C$8,Supuestos!$D$6:$D$8,Supuestos!$E$6:$E$8)+Supuestos!$B$17*Supuestos!$B$16)*Supuestos!$B$21-Supuestos!$B$23)*Supuestos!$B$22+B19*(Supuestos!$B$26+Supuestos!$B$27)</f>
        <v/>
      </c>
      <c r="D19" s="26">
        <f>Supuestos!$B$36</f>
        <v/>
      </c>
      <c r="E19" s="25">
        <f>B19-C19-D19</f>
        <v/>
      </c>
      <c r="F19" s="15">
        <f>IF(B19=0,0,E19/B19)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30" customWidth="1" min="3" max="3"/>
    <col width="60" customWidth="1" min="4" max="4"/>
  </cols>
  <sheetData>
    <row r="1">
      <c r="A1" s="1" t="inlineStr">
        <is>
          <t>Los 50 fundadores: resultado mensual</t>
        </is>
      </c>
      <c r="B1" s="2" t="n"/>
      <c r="C1" s="2" t="n"/>
      <c r="D1" s="2" t="n"/>
    </row>
    <row r="2">
      <c r="A2" s="3" t="inlineStr">
        <is>
          <t>Mensajes esperados según la mezcla y el uso. Meta descuenta sus 1.000 respuestas gratis del mes.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1" t="inlineStr">
        <is>
          <t>Concepto</t>
        </is>
      </c>
      <c r="B4" s="11" t="inlineStr">
        <is>
          <t>Con precio fundador</t>
        </is>
      </c>
      <c r="C4" s="11" t="inlineStr">
        <is>
          <t>Al terminar el descuento (lista)</t>
        </is>
      </c>
      <c r="D4" s="11" t="inlineStr">
        <is>
          <t>Nota</t>
        </is>
      </c>
    </row>
    <row r="5">
      <c r="A5" s="5" t="inlineStr">
        <is>
          <t>Clientes fundadores que pagan</t>
        </is>
      </c>
      <c r="B5" s="27">
        <f>Supuestos!B14</f>
        <v/>
      </c>
      <c r="C5" s="27">
        <f>Supuestos!B14</f>
        <v/>
      </c>
      <c r="D5" s="3" t="inlineStr">
        <is>
          <t>Todos los cupos llenos y pagando.</t>
        </is>
      </c>
    </row>
    <row r="6">
      <c r="A6" s="5" t="inlineStr">
        <is>
          <t>Personal</t>
        </is>
      </c>
      <c r="B6" s="29">
        <f>B5*Supuestos!$D$6</f>
        <v/>
      </c>
      <c r="C6" s="29">
        <f>C5*Supuestos!$D$6</f>
        <v/>
      </c>
      <c r="D6" s="3" t="inlineStr">
        <is>
          <t>Según la mezcla.</t>
        </is>
      </c>
    </row>
    <row r="7">
      <c r="A7" s="5" t="inlineStr">
        <is>
          <t>Negocio</t>
        </is>
      </c>
      <c r="B7" s="29">
        <f>B5*Supuestos!$D$7</f>
        <v/>
      </c>
      <c r="C7" s="29">
        <f>C5*Supuestos!$D$7</f>
        <v/>
      </c>
      <c r="D7" s="3" t="inlineStr"/>
    </row>
    <row r="8">
      <c r="A8" s="5" t="inlineStr">
        <is>
          <t>Negocio Plus</t>
        </is>
      </c>
      <c r="B8" s="29">
        <f>B5*Supuestos!$D$8</f>
        <v/>
      </c>
      <c r="C8" s="29">
        <f>C5*Supuestos!$D$8</f>
        <v/>
      </c>
      <c r="D8" s="3" t="inlineStr"/>
    </row>
    <row r="9">
      <c r="A9" s="5" t="inlineStr">
        <is>
          <t>Ingreso de planes</t>
        </is>
      </c>
      <c r="B9" s="26">
        <f>B6*'Margen por plan'!$C$5+B7*'Margen por plan'!$C$6+B8*'Margen por plan'!$C$7</f>
        <v/>
      </c>
      <c r="C9" s="26">
        <f>C6*'Margen por plan'!$B$5+C7*'Margen por plan'!$B$6+C8*'Margen por plan'!$B$7</f>
        <v/>
      </c>
      <c r="D9" s="3" t="inlineStr"/>
    </row>
    <row r="10">
      <c r="A10" s="5" t="inlineStr">
        <is>
          <t>Ingreso de recargas</t>
        </is>
      </c>
      <c r="B10" s="26">
        <f>B5*Supuestos!$B$17*Supuestos!$B$15</f>
        <v/>
      </c>
      <c r="C10" s="26">
        <f>C5*Supuestos!$B$17*Supuestos!$B$15</f>
        <v/>
      </c>
      <c r="D10" s="3" t="inlineStr">
        <is>
          <t>Las recargas no tienen descuento.</t>
        </is>
      </c>
    </row>
    <row r="11">
      <c r="A11" s="4" t="inlineStr">
        <is>
          <t>Ingreso total</t>
        </is>
      </c>
      <c r="B11" s="22">
        <f>B9+B10</f>
        <v/>
      </c>
      <c r="C11" s="22">
        <f>C9+C10</f>
        <v/>
      </c>
      <c r="D11" s="3" t="inlineStr"/>
    </row>
    <row r="12">
      <c r="A12" s="5" t="inlineStr">
        <is>
          <t>Mensajes del mes</t>
        </is>
      </c>
      <c r="B12" s="27">
        <f>B6*'Margen por plan'!$E$5+B7*'Margen por plan'!$E$6+B8*'Margen por plan'!$E$7+B5*Supuestos!$B$17*Supuestos!$B$16</f>
        <v/>
      </c>
      <c r="C12" s="27">
        <f>C6*'Margen por plan'!$E$5+C7*'Margen por plan'!$E$6+C8*'Margen por plan'!$E$7+C5*Supuestos!$B$17*Supuestos!$B$16</f>
        <v/>
      </c>
      <c r="D12" s="3" t="inlineStr"/>
    </row>
    <row r="13">
      <c r="A13" s="5" t="inlineStr">
        <is>
          <t>Costo IA + voz</t>
        </is>
      </c>
      <c r="B13" s="26">
        <f>B12*('Costo por mensaje'!$B$5+'Costo por mensaje'!$B$7)</f>
        <v/>
      </c>
      <c r="C13" s="26">
        <f>C12*('Costo por mensaje'!$B$5+'Costo por mensaje'!$B$7)</f>
        <v/>
      </c>
      <c r="D13" s="3" t="inlineStr"/>
    </row>
    <row r="14">
      <c r="A14" s="5" t="inlineStr">
        <is>
          <t>Costo Meta (después de 1.000 gratis)</t>
        </is>
      </c>
      <c r="B14" s="26">
        <f>MAX(0,B12*Supuestos!$B$21-Supuestos!$B$23)*Supuestos!$B$22</f>
        <v/>
      </c>
      <c r="C14" s="26">
        <f>MAX(0,C12*Supuestos!$B$21-Supuestos!$B$23)*Supuestos!$B$22</f>
        <v/>
      </c>
      <c r="D14" s="3" t="inlineStr"/>
    </row>
    <row r="15">
      <c r="A15" s="5" t="inlineStr">
        <is>
          <t>Comisiones e impuestos</t>
        </is>
      </c>
      <c r="B15" s="26">
        <f>B11*(Supuestos!$B$26+Supuestos!$B$27)</f>
        <v/>
      </c>
      <c r="C15" s="26">
        <f>C11*(Supuestos!$B$26+Supuestos!$B$27)</f>
        <v/>
      </c>
      <c r="D15" s="3" t="inlineStr"/>
    </row>
    <row r="16">
      <c r="A16" s="5" t="inlineStr">
        <is>
          <t>Costos fijos</t>
        </is>
      </c>
      <c r="B16" s="26">
        <f>Supuestos!$B$36</f>
        <v/>
      </c>
      <c r="C16" s="26">
        <f>Supuestos!$B$36</f>
        <v/>
      </c>
      <c r="D16" s="3" t="inlineStr"/>
    </row>
    <row r="17">
      <c r="A17" s="4" t="inlineStr">
        <is>
          <t>Ganancia del mes</t>
        </is>
      </c>
      <c r="B17" s="22">
        <f>B11-B13-B14-B15-B16</f>
        <v/>
      </c>
      <c r="C17" s="22">
        <f>C11-C13-C14-C15-C16</f>
        <v/>
      </c>
      <c r="D17" s="3" t="inlineStr"/>
    </row>
    <row r="18">
      <c r="A18" s="5" t="inlineStr">
        <is>
          <t>Margen %</t>
        </is>
      </c>
      <c r="B18" s="15">
        <f>IF(B11=0,0,B17/B11)</f>
        <v/>
      </c>
      <c r="C18" s="15">
        <f>IF(C11=0,0,C17/C11)</f>
        <v/>
      </c>
      <c r="D18" s="3" t="inlineStr"/>
    </row>
    <row r="19">
      <c r="A19" s="5" t="inlineStr">
        <is>
          <t>Ganancia acumulada en los meses de fundador</t>
        </is>
      </c>
      <c r="B19" s="26">
        <f>B17*Supuestos!B13</f>
        <v/>
      </c>
      <c r="C19" s="2" t="n"/>
      <c r="D19" s="3" t="inlineStr">
        <is>
          <t>Meses pagando con descuento × ganancia del mes.</t>
        </is>
      </c>
    </row>
    <row r="20">
      <c r="A20" s="5" t="inlineStr">
        <is>
          <t>Lo que se deja de ganar por el descuento (en esos meses)</t>
        </is>
      </c>
      <c r="B20" s="26">
        <f>(C17-B17)*Supuestos!B13</f>
        <v/>
      </c>
      <c r="C20" s="2" t="n"/>
      <c r="D20" s="3" t="inlineStr">
        <is>
          <t>Costo de la promoción: lo que pagarías por traer 50 clientes.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6" customWidth="1" min="3" max="3"/>
    <col width="32" customWidth="1" min="4" max="4"/>
    <col width="52" customWidth="1" min="5" max="5"/>
  </cols>
  <sheetData>
    <row r="1">
      <c r="A1" s="1" t="inlineStr">
        <is>
          <t>Cuánto cuesta dar la prueba de 14 días y conseguir cada cliente que paga</t>
        </is>
      </c>
      <c r="B1" s="2" t="n"/>
      <c r="C1" s="2" t="n"/>
      <c r="D1" s="2" t="n"/>
      <c r="E1" s="2" t="n"/>
    </row>
    <row r="2">
      <c r="A2" s="3" t="inlineStr">
        <is>
          <t>Compara tipos de personas a invitar. Cambia los % en azul con lo que vayas midiendo en el CRM (/admin).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1" t="inlineStr">
        <is>
          <t>Concepto</t>
        </is>
      </c>
      <c r="B4" s="11" t="inlineStr">
        <is>
          <t>Amigos en general</t>
        </is>
      </c>
      <c r="C4" s="11" t="inlineStr">
        <is>
          <t>Dueños de negocio pequeño</t>
        </is>
      </c>
      <c r="D4" s="11" t="inlineStr">
        <is>
          <t>Personas que ya anotan sus gastos</t>
        </is>
      </c>
      <c r="E4" s="11" t="inlineStr">
        <is>
          <t>Nota</t>
        </is>
      </c>
    </row>
    <row r="5">
      <c r="A5" s="5" t="inlineStr">
        <is>
          <t>Personas invitadas</t>
        </is>
      </c>
      <c r="B5" s="13" t="n">
        <v>100</v>
      </c>
      <c r="C5" s="13" t="n">
        <v>30</v>
      </c>
      <c r="D5" s="13" t="n">
        <v>30</v>
      </c>
      <c r="E5" s="3" t="inlineStr">
        <is>
          <t>Cuántas invitas de cada tipo.</t>
        </is>
      </c>
    </row>
    <row r="6">
      <c r="A6" s="5" t="inlineStr">
        <is>
          <t>% que se registra (le escribe a Rocco)</t>
        </is>
      </c>
      <c r="B6" s="16" t="n">
        <v>0.5</v>
      </c>
      <c r="C6" s="16" t="n">
        <v>0.7</v>
      </c>
      <c r="D6" s="16" t="n">
        <v>0.7</v>
      </c>
      <c r="E6" s="3" t="inlineStr">
        <is>
          <t>Supuesto. En el CRM: registros iniciados.</t>
        </is>
      </c>
    </row>
    <row r="7">
      <c r="A7" s="5" t="inlineStr">
        <is>
          <t>% de los registrados que se activa (3+ movimientos el 1er día)</t>
        </is>
      </c>
      <c r="B7" s="14" t="n">
        <v>0.3</v>
      </c>
      <c r="C7" s="14" t="n">
        <v>0.6</v>
      </c>
      <c r="D7" s="14" t="n">
        <v>0.6</v>
      </c>
      <c r="E7" s="3" t="inlineStr">
        <is>
          <t>Supuesto. En el CRM: activados.</t>
        </is>
      </c>
    </row>
    <row r="8">
      <c r="A8" s="5" t="inlineStr">
        <is>
          <t>Mensajes en 14 días de una prueba activa</t>
        </is>
      </c>
      <c r="B8" s="13" t="n">
        <v>120</v>
      </c>
      <c r="C8" s="13" t="n">
        <v>220</v>
      </c>
      <c r="D8" s="13" t="n">
        <v>110</v>
      </c>
      <c r="E8" s="3" t="inlineStr">
        <is>
          <t>Piloto: 8 a 16 por día en las cuentas activas.</t>
        </is>
      </c>
    </row>
    <row r="9">
      <c r="A9" s="5" t="inlineStr">
        <is>
          <t>Mensajes en 14 días de una prueba inactiva</t>
        </is>
      </c>
      <c r="B9" s="13" t="n">
        <v>10</v>
      </c>
      <c r="C9" s="13" t="n">
        <v>10</v>
      </c>
      <c r="D9" s="13" t="n">
        <v>10</v>
      </c>
      <c r="E9" s="3" t="inlineStr">
        <is>
          <t>Registro + algunas pruebas.</t>
        </is>
      </c>
    </row>
    <row r="10">
      <c r="A10" s="5" t="inlineStr">
        <is>
          <t>% de los activos que paga al terminar</t>
        </is>
      </c>
      <c r="B10" s="14" t="n">
        <v>0.2</v>
      </c>
      <c r="C10" s="14" t="n">
        <v>0.4</v>
      </c>
      <c r="D10" s="14" t="n">
        <v>0.35</v>
      </c>
      <c r="E10" s="3" t="inlineStr">
        <is>
          <t>Supuesto clave. En el CRM: encuesta del día 12 y pagos.</t>
        </is>
      </c>
    </row>
    <row r="11">
      <c r="A11" s="5" t="inlineStr">
        <is>
          <t>Plan que eligen (precio fundador)</t>
        </is>
      </c>
      <c r="B11" s="26">
        <f>'Margen por plan'!C5</f>
        <v/>
      </c>
      <c r="C11" s="26">
        <f>'Margen por plan'!C6</f>
        <v/>
      </c>
      <c r="D11" s="26">
        <f>'Margen por plan'!C5</f>
        <v/>
      </c>
      <c r="E11" s="3" t="inlineStr">
        <is>
          <t>Amigos y personas: Personal. Dueños: Negocio.</t>
        </is>
      </c>
    </row>
    <row r="12">
      <c r="A12" s="5" t="inlineStr">
        <is>
          <t>Margen mensual por cliente que paga (fundador)</t>
        </is>
      </c>
      <c r="B12" s="26">
        <f>'Margen por plan'!J5</f>
        <v/>
      </c>
      <c r="C12" s="26">
        <f>'Margen por plan'!J6</f>
        <v/>
      </c>
      <c r="D12" s="26">
        <f>'Margen por plan'!J5</f>
        <v/>
      </c>
      <c r="E12" s="3" t="inlineStr">
        <is>
          <t>De la hoja Margen por plan.</t>
        </is>
      </c>
    </row>
    <row r="13">
      <c r="A13" s="5" t="inlineStr">
        <is>
          <t>Mensajes incluidos en la prueba</t>
        </is>
      </c>
      <c r="B13" s="27">
        <f>Supuestos!B40</f>
        <v/>
      </c>
      <c r="C13" s="27">
        <f>Supuestos!B41</f>
        <v/>
      </c>
      <c r="D13" s="27">
        <f>Supuestos!B40</f>
        <v/>
      </c>
      <c r="E13" s="3" t="inlineStr">
        <is>
          <t>Al pasarlos Rocco deja de registrar: ninguna prueba cuesta más.</t>
        </is>
      </c>
    </row>
    <row r="14">
      <c r="A14" s="5" t="inlineStr">
        <is>
          <t>Registrados</t>
        </is>
      </c>
      <c r="B14" s="30">
        <f>B5*B6</f>
        <v/>
      </c>
      <c r="C14" s="30">
        <f>C5*C6</f>
        <v/>
      </c>
      <c r="D14" s="30">
        <f>D5*D6</f>
        <v/>
      </c>
      <c r="E14" s="2" t="n"/>
    </row>
    <row r="15">
      <c r="A15" s="5" t="inlineStr">
        <is>
          <t>Pruebas activas</t>
        </is>
      </c>
      <c r="B15" s="30">
        <f>B14*B7</f>
        <v/>
      </c>
      <c r="C15" s="30">
        <f>C14*C7</f>
        <v/>
      </c>
      <c r="D15" s="30">
        <f>D14*D7</f>
        <v/>
      </c>
      <c r="E15" s="2" t="n"/>
    </row>
    <row r="16">
      <c r="A16" s="5" t="inlineStr">
        <is>
          <t>Pruebas inactivas</t>
        </is>
      </c>
      <c r="B16" s="30">
        <f>B14-B15</f>
        <v/>
      </c>
      <c r="C16" s="30">
        <f>C14-C15</f>
        <v/>
      </c>
      <c r="D16" s="30">
        <f>D14-D15</f>
        <v/>
      </c>
      <c r="E16" s="2" t="n"/>
    </row>
    <row r="17">
      <c r="A17" s="5" t="inlineStr">
        <is>
          <t>Costo de las pruebas (Meta completo, con el tope)</t>
        </is>
      </c>
      <c r="B17" s="26">
        <f>(B15*MIN(B8,B13)+B16*MIN(B9,B13))*'Costo por mensaje'!$B$8</f>
        <v/>
      </c>
      <c r="C17" s="26">
        <f>(C15*MIN(C8,C13)+C16*MIN(C9,C13))*'Costo por mensaje'!$B$8</f>
        <v/>
      </c>
      <c r="D17" s="26">
        <f>(D15*MIN(D8,D13)+D16*MIN(D9,D13))*'Costo por mensaje'!$B$8</f>
        <v/>
      </c>
      <c r="E17" s="2" t="n"/>
    </row>
    <row r="18">
      <c r="A18" s="4" t="inlineStr">
        <is>
          <t>Clientes que pagan</t>
        </is>
      </c>
      <c r="B18" s="31">
        <f>B15*B10</f>
        <v/>
      </c>
      <c r="C18" s="31">
        <f>C15*C10</f>
        <v/>
      </c>
      <c r="D18" s="31">
        <f>D15*D10</f>
        <v/>
      </c>
      <c r="E18" s="2" t="n"/>
    </row>
    <row r="19">
      <c r="A19" s="4" t="inlineStr">
        <is>
          <t>Costo por cliente conseguido (CAC)</t>
        </is>
      </c>
      <c r="B19" s="22">
        <f>IF(B18=0,0,B17/B18)</f>
        <v/>
      </c>
      <c r="C19" s="22">
        <f>IF(C18=0,0,C17/C18)</f>
        <v/>
      </c>
      <c r="D19" s="22">
        <f>IF(D18=0,0,D17/D18)</f>
        <v/>
      </c>
      <c r="E19" s="2" t="n"/>
    </row>
    <row r="20">
      <c r="A20" s="5" t="inlineStr">
        <is>
          <t>Meses para recuperar el CAC</t>
        </is>
      </c>
      <c r="B20" s="32">
        <f>IF(B12&lt;=0,0,B19/B12)</f>
        <v/>
      </c>
      <c r="C20" s="32">
        <f>IF(C12&lt;=0,0,C19/C12)</f>
        <v/>
      </c>
      <c r="D20" s="32">
        <f>IF(D12&lt;=0,0,D19/D12)</f>
        <v/>
      </c>
      <c r="E20" s="2" t="n"/>
    </row>
    <row r="21">
      <c r="A21" s="5" t="inlineStr">
        <is>
          <t>Ganancia mensual que aportan esos clientes</t>
        </is>
      </c>
      <c r="B21" s="25">
        <f>B18*B12</f>
        <v/>
      </c>
      <c r="C21" s="25">
        <f>C18*C12</f>
        <v/>
      </c>
      <c r="D21" s="25">
        <f>D18*D12</f>
        <v/>
      </c>
      <c r="E21" s="2" t="n"/>
    </row>
    <row r="22">
      <c r="A22" s="5" t="inlineStr">
        <is>
          <t>Costo máximo de una prueba ($)</t>
        </is>
      </c>
      <c r="B22" s="26">
        <f>B13*'Costo por mensaje'!$B$8</f>
        <v/>
      </c>
      <c r="C22" s="26">
        <f>C13*'Costo por mensaje'!$B$8</f>
        <v/>
      </c>
      <c r="D22" s="26">
        <f>D13*'Costo por mensaje'!$B$8</f>
        <v/>
      </c>
      <c r="E22" s="2" t="n"/>
    </row>
    <row r="23">
      <c r="A23" s="2" t="n"/>
      <c r="B23" s="2" t="n"/>
      <c r="C23" s="2" t="n"/>
      <c r="D23" s="2" t="n"/>
      <c r="E23" s="2" t="n"/>
    </row>
    <row r="24">
      <c r="A24" s="3" t="inlineStr">
        <is>
          <t>Lectura: el tipo de persona con el CAC más bajo y más clientes que pagan es a quien debes invitar primero. La prueba se mide en mensajes (100 Personal / 200 Negocio): el costo máximo de una prueba está en la fila 22.</t>
        </is>
      </c>
      <c r="B24" s="2" t="n"/>
      <c r="C24" s="2" t="n"/>
      <c r="D24" s="2" t="n"/>
      <c r="E2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1" t="inlineStr">
        <is>
          <t>Datos reales del piloto (producción)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Fuente: base de datos de Rocco (Supabase), consulta del 07/10/2026. Mensajes de los usuarios y respuestas de Rocco.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1" t="inlineStr">
        <is>
          <t>Cuenta</t>
        </is>
      </c>
      <c r="B4" s="11" t="inlineStr">
        <is>
          <t>Plan</t>
        </is>
      </c>
      <c r="C4" s="11" t="inlineStr">
        <is>
          <t>Días desde el alta</t>
        </is>
      </c>
      <c r="D4" s="11" t="inlineStr">
        <is>
          <t>Mensajes del usuario</t>
        </is>
      </c>
      <c r="E4" s="11" t="inlineStr">
        <is>
          <t>Notas de voz</t>
        </is>
      </c>
      <c r="F4" s="11" t="inlineStr">
        <is>
          <t>Fotos</t>
        </is>
      </c>
      <c r="G4" s="11" t="inlineStr">
        <is>
          <t>Respuestas de Rocco</t>
        </is>
      </c>
      <c r="H4" s="11" t="inlineStr">
        <is>
          <t>Costo IA ($)</t>
        </is>
      </c>
      <c r="I4" s="11" t="inlineStr">
        <is>
          <t>Movimientos anotados</t>
        </is>
      </c>
      <c r="J4" s="33" t="inlineStr">
        <is>
          <t>IA por mensaje</t>
        </is>
      </c>
      <c r="K4" s="33" t="inlineStr">
        <is>
          <t>Respuestas por mensaje</t>
        </is>
      </c>
      <c r="L4" s="33" t="inlineStr">
        <is>
          <t>% notas de voz</t>
        </is>
      </c>
      <c r="M4" s="33" t="inlineStr">
        <is>
          <t>Mensajes por día (activos)</t>
        </is>
      </c>
    </row>
    <row r="5">
      <c r="A5" s="34" t="inlineStr">
        <is>
          <t>Autolavado (piloto 1)</t>
        </is>
      </c>
      <c r="B5" s="34" t="inlineStr">
        <is>
          <t>Negocio</t>
        </is>
      </c>
      <c r="C5" s="13" t="n">
        <v>8</v>
      </c>
      <c r="D5" s="13" t="n">
        <v>130</v>
      </c>
      <c r="E5" s="13" t="n">
        <v>9</v>
      </c>
      <c r="F5" s="13" t="n">
        <v>9</v>
      </c>
      <c r="G5" s="13" t="n">
        <v>128</v>
      </c>
      <c r="H5" s="21" t="n">
        <v>1.1234</v>
      </c>
      <c r="I5" s="13" t="n">
        <v>21</v>
      </c>
      <c r="J5" s="2" t="n"/>
      <c r="K5" s="2" t="n"/>
      <c r="L5" s="2" t="n"/>
      <c r="M5" s="30">
        <f>IF(C5=0,0,D5/C5)</f>
        <v/>
      </c>
    </row>
    <row r="6">
      <c r="A6" s="34" t="inlineStr">
        <is>
          <t>Finanzas personales</t>
        </is>
      </c>
      <c r="B6" s="34" t="inlineStr">
        <is>
          <t>Negocio</t>
        </is>
      </c>
      <c r="C6" s="13" t="n">
        <v>7</v>
      </c>
      <c r="D6" s="13" t="n">
        <v>85</v>
      </c>
      <c r="E6" s="13" t="n">
        <v>6</v>
      </c>
      <c r="F6" s="13" t="n">
        <v>12</v>
      </c>
      <c r="G6" s="13" t="n">
        <v>83</v>
      </c>
      <c r="H6" s="21" t="n">
        <v>0.9002</v>
      </c>
      <c r="I6" s="13" t="n">
        <v>22</v>
      </c>
      <c r="J6" s="2" t="n"/>
      <c r="K6" s="2" t="n"/>
      <c r="L6" s="2" t="n"/>
      <c r="M6" s="30">
        <f>IF(C6=0,0,D6/C6)</f>
        <v/>
      </c>
    </row>
    <row r="7">
      <c r="A7" s="34" t="inlineStr">
        <is>
          <t>Maria</t>
        </is>
      </c>
      <c r="B7" s="34" t="inlineStr">
        <is>
          <t>Personal</t>
        </is>
      </c>
      <c r="C7" s="13" t="n">
        <v>1</v>
      </c>
      <c r="D7" s="13" t="n">
        <v>15</v>
      </c>
      <c r="E7" s="13" t="n">
        <v>2</v>
      </c>
      <c r="F7" s="13" t="n">
        <v>0</v>
      </c>
      <c r="G7" s="13" t="n">
        <v>15</v>
      </c>
      <c r="H7" s="21" t="n">
        <v>0.2695</v>
      </c>
      <c r="I7" s="13" t="n">
        <v>0</v>
      </c>
      <c r="J7" s="2" t="n"/>
      <c r="K7" s="2" t="n"/>
      <c r="L7" s="2" t="n"/>
      <c r="M7" s="30">
        <f>IF(C7=0,0,D7/C7)</f>
        <v/>
      </c>
    </row>
    <row r="8">
      <c r="A8" s="34" t="inlineStr">
        <is>
          <t>Finanzas Personales (sin uso)</t>
        </is>
      </c>
      <c r="B8" s="34" t="inlineStr">
        <is>
          <t>Negocio</t>
        </is>
      </c>
      <c r="C8" s="13" t="n">
        <v>2</v>
      </c>
      <c r="D8" s="13" t="n">
        <v>0</v>
      </c>
      <c r="E8" s="13" t="n">
        <v>0</v>
      </c>
      <c r="F8" s="13" t="n">
        <v>0</v>
      </c>
      <c r="G8" s="13" t="n">
        <v>0</v>
      </c>
      <c r="H8" s="21" t="n">
        <v>0</v>
      </c>
      <c r="I8" s="13" t="n">
        <v>0</v>
      </c>
      <c r="J8" s="2" t="n"/>
      <c r="K8" s="2" t="n"/>
      <c r="L8" s="2" t="n"/>
      <c r="M8" s="2" t="n"/>
    </row>
    <row r="9">
      <c r="A9" s="4" t="inlineStr">
        <is>
          <t>Totales y promedios</t>
        </is>
      </c>
      <c r="B9" s="2" t="n"/>
      <c r="C9" s="2" t="n"/>
      <c r="D9" s="28">
        <f>SUM(D5:D8)</f>
        <v/>
      </c>
      <c r="E9" s="28">
        <f>SUM(E5:E8)</f>
        <v/>
      </c>
      <c r="F9" s="28">
        <f>SUM(F5:F8)</f>
        <v/>
      </c>
      <c r="G9" s="28">
        <f>SUM(G5:G8)</f>
        <v/>
      </c>
      <c r="H9" s="24">
        <f>SUM(H5:H8)</f>
        <v/>
      </c>
      <c r="I9" s="28">
        <f>SUM(I5:I8)</f>
        <v/>
      </c>
      <c r="J9" s="24">
        <f>IF(D9=0,0,H9/D9)</f>
        <v/>
      </c>
      <c r="K9" s="35">
        <f>IF(D9=0,0,G9/D9)</f>
        <v/>
      </c>
      <c r="L9" s="36">
        <f>IF(D9=0,0,E9/D9)</f>
        <v/>
      </c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Lectura: las 2 cuentas activas mandan 12 a 16 mensajes por día al principio (entusiasmo de la primera semana). Con el tiempo suele bajar; el modelo usa 70 % del tope.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A quién invitar a probar a Rocco y qué medir</t>
        </is>
      </c>
      <c r="B1" s="2" t="n"/>
    </row>
    <row r="2">
      <c r="A2" s="2" t="n"/>
      <c r="B2" s="2" t="n"/>
    </row>
    <row r="3" ht="48" customHeight="1">
      <c r="A3" s="4" t="inlineStr">
        <is>
          <t>1. Invita primero a quien maneja plata todos los días</t>
        </is>
      </c>
      <c r="B3" s="37" t="inlineStr">
        <is>
          <t>Dueños de bodegas, areperas, autolavados, peluquerías, ventas por Instagram, freelancers que cobran en $ o USDT. Ya tienen el dolor: anotan en cuaderno y convierten a la tasa a mano. Es el grupo con más uso y más conversión (hoja Prueba gratis).</t>
        </is>
      </c>
    </row>
    <row r="4" ht="48" customHeight="1">
      <c r="A4" s="4" t="inlineStr">
        <is>
          <t>2. Después, personas que ya llevan sus gastos</t>
        </is>
      </c>
      <c r="B4" s="37" t="inlineStr">
        <is>
          <t>Quien usa Excel o una app para sus gastos, o divide cuentas con amigos. Rocco les ahorra trabajo desde el primer día.</t>
        </is>
      </c>
    </row>
    <row r="5" ht="48" customHeight="1">
      <c r="A5" s="4" t="inlineStr">
        <is>
          <t>3. Amigos en general, al final y en grupos pequeños</t>
        </is>
      </c>
      <c r="B5" s="37" t="inlineStr">
        <is>
          <t>Prueban por curiosidad, usan poco y convierten menos. Son buenos para encontrar errores, no para medir la conversión.</t>
        </is>
      </c>
    </row>
    <row r="6" ht="48" customHeight="1">
      <c r="A6" s="4" t="inlineStr">
        <is>
          <t>Cuántos invitar</t>
        </is>
      </c>
      <c r="B6" s="37" t="inlineStr">
        <is>
          <t>Lotes de 10 a 15 por semana, no 100 de una vez: así puedes acompañar a cada uno, ver en /admin quién se activa y ajustar los textos de Rocco. La prueba se mide en mensajes: el peor caso es ~$2,10 por Personal (100) y ~$4,30 por Negocio (200).</t>
        </is>
      </c>
    </row>
    <row r="7" ht="48" customHeight="1">
      <c r="A7" s="4" t="inlineStr">
        <is>
          <t>Qué medir cada semana (en /admin)</t>
        </is>
      </c>
      <c r="B7" s="37" t="inlineStr">
        <is>
          <t>Registros iniciados vs terminados; activados (3+ movimientos el 1er día); activos en 7 días; respuestas de la encuesta (precio justo y caro); '¿seguimos?' sí / dudas; pagos.</t>
        </is>
      </c>
    </row>
    <row r="8" ht="48" customHeight="1">
      <c r="A8" s="4" t="inlineStr">
        <is>
          <t>Señales de que vas bien</t>
        </is>
      </c>
      <c r="B8" s="37" t="inlineStr">
        <is>
          <t>Activación ≥ 50 %; activos a los 7 días ≥ 40 %; conversión de activos a pago ≥ 25 %; el precio 'justo' de la encuesta en o por encima del precio fundador.</t>
        </is>
      </c>
    </row>
    <row r="9" ht="48" customHeight="1">
      <c r="A9" s="4" t="inlineStr">
        <is>
          <t>Qué hacer con quien no se activa</t>
        </is>
      </c>
      <c r="B9" s="37" t="inlineStr">
        <is>
          <t>Escríbele desde 'Registros sin terminar' o el semáforo rojo: pregúntale qué le frenó. Esa conversación vale más que cualquier encuesta.</t>
        </is>
      </c>
    </row>
    <row r="10" ht="48" customHeight="1">
      <c r="A10" s="4" t="inlineStr">
        <is>
          <t>Prueba por mensajes y recargas</t>
        </is>
      </c>
      <c r="B10" s="37" t="inlineStr">
        <is>
          <t>La prueba son 100 mensajes (Personal) o 200 (Negocio) en 14 días: unos 7 o 14 por día, más que el uso normal. Al llegar al tope del mes, quien quiere más compra recargas: +20 por $1 o +100 por $4. Las dos dejan más del 50 % de margen en el peor caso, así que el power user paga lo que usa y tu margen no cambia.</t>
        </is>
      </c>
    </row>
    <row r="11" ht="48" customHeight="1">
      <c r="A11" s="4" t="inlineStr">
        <is>
          <t>Antes de escalar</t>
        </is>
      </c>
      <c r="B11" s="37" t="inlineStr">
        <is>
          <t>Comprar holarocco.com, pasar Vercel a Pro (uso comercial) y revisar el costo real de la IA por mensaje: es la palanca más grande del margen.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2026-10-07T16:17:44Z</dcterms:created>
  <dcterms:modified xsi:type="dcterms:W3CDTF">2026-10-07T16:17:44Z</dcterms:modified>
</cp:coreProperties>
</file>